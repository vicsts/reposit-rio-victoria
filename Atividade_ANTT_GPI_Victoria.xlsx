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2" borderId="1" pivotButton="0" quotePrefix="0" xfId="0"/>
    <xf numFmtId="0" fontId="0" fillId="0" borderId="1" applyAlignment="1" pivotButton="0" quotePrefix="0" xfId="0">
      <alignment wrapText="1"/>
    </xf>
    <xf numFmtId="0" fontId="2" fillId="0" borderId="1" pivotButton="0" quotePrefix="0" xfId="0"/>
    <xf numFmtId="1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Operadores de Transporte Multimodal – principais UFs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'Atividade'!B11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'Atividade'!$A$12:$A$21</f>
            </numRef>
          </cat>
          <val>
            <numRef>
              <f>'Atividade'!$B$12:$B$21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 de empresas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regional dos Operadores de Transporte Multimodal</a:t>
            </a:r>
          </a:p>
        </rich>
      </tx>
    </title>
    <plotArea>
      <pieChart>
        <varyColors val="1"/>
        <ser>
          <idx val="0"/>
          <order val="0"/>
          <tx>
            <strRef>
              <f>'Atividade'!B27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'Atividade'!$A$28:$A$30</f>
            </numRef>
          </cat>
          <val>
            <numRef>
              <f>'Atividade'!$B$28:$B$30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" customWidth="1" min="3" max="3"/>
    <col width="22" customWidth="1" min="4" max="4"/>
    <col width="42" customWidth="1" min="5" max="5"/>
    <col width="10" customWidth="1" min="6" max="6"/>
  </cols>
  <sheetData>
    <row r="1" ht="20" customHeight="1">
      <c r="A1" s="1" t="inlineStr">
        <is>
          <t>ATIVIDADE – FONTES DE INFORMAÇÃO E BANCOS DE DADOS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Fonte dos dados</t>
        </is>
      </c>
      <c r="B3" s="2" t="inlineStr">
        <is>
          <t>ANTT – Empresas Habilitadas como Operador de Transporte Multimodal</t>
        </is>
      </c>
      <c r="C3" s="2" t="n"/>
      <c r="D3" s="2" t="n"/>
      <c r="E3" s="2" t="n"/>
      <c r="F3" s="2" t="n"/>
    </row>
    <row r="4" ht="20" customHeight="1">
      <c r="A4" s="3" t="inlineStr">
        <is>
          <t>Aluno(a)</t>
        </is>
      </c>
      <c r="B4" s="2" t="inlineStr">
        <is>
          <t>Victória Aparecida de Souza Santos</t>
        </is>
      </c>
      <c r="C4" s="2" t="n"/>
      <c r="D4" s="2" t="n"/>
      <c r="E4" s="2" t="n"/>
      <c r="F4" s="2" t="n"/>
    </row>
    <row r="5" ht="20" customHeight="1">
      <c r="A5" s="3" t="inlineStr">
        <is>
          <t>Curso</t>
        </is>
      </c>
      <c r="B5" s="2" t="inlineStr">
        <is>
          <t>Gestão da Produção Industrial – GPI</t>
        </is>
      </c>
      <c r="C5" s="2" t="n"/>
      <c r="D5" s="2" t="n"/>
      <c r="E5" s="2" t="n"/>
      <c r="F5" s="2" t="n"/>
    </row>
    <row r="6" ht="20" customHeight="1">
      <c r="A6" s="3" t="inlineStr">
        <is>
          <t>Base consultada</t>
        </is>
      </c>
      <c r="B6" s="2" t="inlineStr">
        <is>
          <t>Dados públicos da ANTT / Anuário TRC 2025 (referência para a análise)</t>
        </is>
      </c>
      <c r="C6" s="2" t="n"/>
      <c r="D6" s="2" t="n"/>
      <c r="E6" s="2" t="n"/>
      <c r="F6" s="2" t="n"/>
    </row>
    <row r="7" ht="20" customHeight="1">
      <c r="A7" s="2" t="n"/>
      <c r="B7" s="2" t="n"/>
      <c r="C7" s="2" t="n"/>
      <c r="D7" s="2" t="n"/>
      <c r="E7" s="2" t="n"/>
      <c r="F7" s="2" t="n"/>
    </row>
    <row r="8" ht="20" customHeight="1">
      <c r="A8" s="4" t="inlineStr">
        <is>
          <t>PERGUNTA 1</t>
        </is>
      </c>
      <c r="B8" s="2" t="n"/>
      <c r="C8" s="2" t="n"/>
      <c r="D8" s="2" t="n"/>
      <c r="E8" s="2" t="n"/>
      <c r="F8" s="2" t="n"/>
    </row>
    <row r="9" ht="20" customHeight="1">
      <c r="A9" s="5" t="inlineStr">
        <is>
          <t>Qual Unidade da Federação (UF) apresenta a maior quantidade de Operadores de Transporte Multimodal na base analisada?</t>
        </is>
      </c>
      <c r="B9" s="2" t="n"/>
      <c r="C9" s="2" t="n"/>
      <c r="D9" s="2" t="n"/>
      <c r="E9" s="2" t="n"/>
      <c r="F9" s="2" t="n"/>
    </row>
    <row r="10" ht="20" customHeight="1">
      <c r="A10" s="2" t="n"/>
      <c r="B10" s="2" t="n"/>
      <c r="C10" s="2" t="n"/>
      <c r="D10" s="2" t="n"/>
      <c r="E10" s="2" t="n"/>
      <c r="F10" s="2" t="n"/>
    </row>
    <row r="11" ht="20" customHeight="1">
      <c r="A11" s="3" t="inlineStr">
        <is>
          <t>UF</t>
        </is>
      </c>
      <c r="B11" s="3" t="inlineStr">
        <is>
          <t>Quantidade de empresas</t>
        </is>
      </c>
      <c r="C11" s="2" t="n"/>
      <c r="D11" s="3" t="inlineStr">
        <is>
          <t>Maior quantidade</t>
        </is>
      </c>
      <c r="E11" s="3" t="inlineStr">
        <is>
          <t>UF(s)</t>
        </is>
      </c>
      <c r="F11" s="2" t="n"/>
    </row>
    <row r="12" ht="20" customHeight="1">
      <c r="A12" s="2" t="inlineStr">
        <is>
          <t>SP</t>
        </is>
      </c>
      <c r="B12" s="2" t="n">
        <v>366</v>
      </c>
      <c r="C12" s="2" t="n"/>
      <c r="D12" s="2">
        <f>MAX(B12:B21)</f>
        <v/>
      </c>
      <c r="E12" s="2">
        <f>TEXTJOIN(", ",TRUE,IF(B12:B21=D12,A12:A21,""))</f>
        <v/>
      </c>
      <c r="F12" s="2" t="n"/>
    </row>
    <row r="13" ht="20" customHeight="1">
      <c r="A13" s="2" t="inlineStr">
        <is>
          <t>MG</t>
        </is>
      </c>
      <c r="B13" s="2" t="n">
        <v>366</v>
      </c>
      <c r="C13" s="2" t="n"/>
      <c r="D13" s="6" t="inlineStr">
        <is>
          <t>Resultado esperado</t>
        </is>
      </c>
      <c r="E13" s="2" t="inlineStr">
        <is>
          <t>SP e MG (empate na referência utilizada)</t>
        </is>
      </c>
      <c r="F13" s="2" t="n"/>
    </row>
    <row r="14" ht="20" customHeight="1">
      <c r="A14" s="2" t="inlineStr">
        <is>
          <t>AM</t>
        </is>
      </c>
      <c r="B14" s="2" t="n">
        <v>76</v>
      </c>
      <c r="C14" s="2" t="n"/>
      <c r="D14" s="2" t="n"/>
      <c r="E14" s="2" t="n"/>
      <c r="F14" s="2" t="n"/>
    </row>
    <row r="15" ht="20" customHeight="1">
      <c r="A15" s="2" t="inlineStr">
        <is>
          <t>PR</t>
        </is>
      </c>
      <c r="B15" s="2" t="n">
        <v>56</v>
      </c>
      <c r="C15" s="2" t="n"/>
      <c r="D15" s="2" t="n"/>
      <c r="E15" s="2" t="n"/>
      <c r="F15" s="2" t="n"/>
    </row>
    <row r="16" ht="20" customHeight="1">
      <c r="A16" s="2" t="inlineStr">
        <is>
          <t>SC</t>
        </is>
      </c>
      <c r="B16" s="2" t="n">
        <v>54</v>
      </c>
      <c r="C16" s="2" t="n"/>
      <c r="D16" s="2" t="n"/>
      <c r="E16" s="2" t="n"/>
      <c r="F16" s="2" t="n"/>
    </row>
    <row r="17" ht="20" customHeight="1">
      <c r="A17" s="2" t="inlineStr">
        <is>
          <t>RS</t>
        </is>
      </c>
      <c r="B17" s="2" t="n">
        <v>54</v>
      </c>
      <c r="C17" s="2" t="n"/>
      <c r="D17" s="2" t="n"/>
      <c r="E17" s="2" t="n"/>
      <c r="F17" s="2" t="n"/>
    </row>
    <row r="18" ht="20" customHeight="1">
      <c r="A18" s="2" t="inlineStr">
        <is>
          <t>DF</t>
        </is>
      </c>
      <c r="B18" s="2" t="n">
        <v>46</v>
      </c>
      <c r="C18" s="2" t="n"/>
      <c r="D18" s="2" t="n"/>
      <c r="E18" s="2" t="n"/>
      <c r="F18" s="2" t="n"/>
    </row>
    <row r="19" ht="20" customHeight="1">
      <c r="A19" s="2" t="inlineStr">
        <is>
          <t>RJ</t>
        </is>
      </c>
      <c r="B19" s="2" t="n">
        <v>45</v>
      </c>
      <c r="C19" s="2" t="n"/>
      <c r="D19" s="2" t="n"/>
      <c r="E19" s="2" t="n"/>
      <c r="F19" s="2" t="n"/>
    </row>
    <row r="20" ht="20" customHeight="1">
      <c r="A20" s="2" t="inlineStr">
        <is>
          <t>PA</t>
        </is>
      </c>
      <c r="B20" s="2" t="n">
        <v>39</v>
      </c>
      <c r="C20" s="2" t="n"/>
      <c r="D20" s="2" t="n"/>
      <c r="E20" s="2" t="n"/>
      <c r="F20" s="2" t="n"/>
    </row>
    <row r="21" ht="20" customHeight="1">
      <c r="A21" s="2" t="inlineStr">
        <is>
          <t>BA</t>
        </is>
      </c>
      <c r="B21" s="2" t="n">
        <v>17</v>
      </c>
      <c r="C21" s="2" t="n"/>
      <c r="D21" s="2" t="n"/>
      <c r="E21" s="2" t="n"/>
      <c r="F21" s="2" t="n"/>
    </row>
    <row r="22" ht="20" customHeight="1">
      <c r="A22" s="2" t="n"/>
      <c r="B22" s="2" t="n"/>
      <c r="C22" s="2" t="n"/>
      <c r="D22" s="2" t="n"/>
      <c r="E22" s="2" t="n"/>
      <c r="F22" s="2" t="n"/>
    </row>
    <row r="23" ht="20" customHeight="1">
      <c r="A23" s="2" t="n"/>
      <c r="B23" s="2" t="n"/>
      <c r="C23" s="2" t="n"/>
      <c r="D23" s="2" t="n"/>
      <c r="E23" s="2" t="n"/>
      <c r="F23" s="2" t="n"/>
    </row>
    <row r="24" ht="20" customHeight="1">
      <c r="A24" s="4" t="inlineStr">
        <is>
          <t>PERGUNTA 2</t>
        </is>
      </c>
      <c r="B24" s="2" t="n"/>
      <c r="C24" s="2" t="n"/>
      <c r="D24" s="2" t="n"/>
      <c r="E24" s="2" t="n"/>
      <c r="F24" s="2" t="n"/>
    </row>
    <row r="25" ht="20" customHeight="1">
      <c r="A25" s="5" t="inlineStr">
        <is>
          <t>Como estão distribuídos os Operadores de Transporte Multimodal entre as regiões Sudeste, Sul e demais regiões?</t>
        </is>
      </c>
      <c r="B25" s="2" t="n"/>
      <c r="C25" s="2" t="n"/>
      <c r="D25" s="2" t="n"/>
      <c r="E25" s="2" t="n"/>
      <c r="F25" s="2" t="n"/>
    </row>
    <row r="26" ht="20" customHeight="1">
      <c r="A26" s="2" t="n"/>
      <c r="B26" s="2" t="n"/>
      <c r="C26" s="2" t="n"/>
      <c r="D26" s="2" t="n"/>
      <c r="E26" s="2" t="n"/>
      <c r="F26" s="2" t="n"/>
    </row>
    <row r="27" ht="20" customHeight="1">
      <c r="A27" s="3" t="inlineStr">
        <is>
          <t>Região</t>
        </is>
      </c>
      <c r="B27" s="3" t="inlineStr">
        <is>
          <t>Percentual</t>
        </is>
      </c>
      <c r="C27" s="2" t="n"/>
      <c r="D27" s="2" t="inlineStr">
        <is>
          <t>Total</t>
        </is>
      </c>
      <c r="E27" s="2" t="n"/>
      <c r="F27" s="2" t="n"/>
    </row>
    <row r="28" ht="20" customHeight="1">
      <c r="A28" s="2" t="inlineStr">
        <is>
          <t>Sudeste</t>
        </is>
      </c>
      <c r="B28" s="7" t="n">
        <v>0.5375</v>
      </c>
      <c r="C28" s="2" t="n"/>
      <c r="D28" s="7">
        <f>SUM(B28:B30)</f>
        <v/>
      </c>
      <c r="E28" s="2" t="n"/>
      <c r="F28" s="2" t="n"/>
    </row>
    <row r="29" ht="20" customHeight="1">
      <c r="A29" s="2" t="inlineStr">
        <is>
          <t>Sul</t>
        </is>
      </c>
      <c r="B29" s="7" t="n">
        <v>0.1686</v>
      </c>
      <c r="C29" s="2" t="n"/>
      <c r="D29" s="6" t="inlineStr">
        <is>
          <t>Conclusão</t>
        </is>
      </c>
      <c r="E29" s="2" t="inlineStr">
        <is>
          <t>A maior concentração está na Região Sudeste.</t>
        </is>
      </c>
      <c r="F29" s="2" t="n"/>
    </row>
    <row r="30" ht="20" customHeight="1">
      <c r="A30" s="2" t="inlineStr">
        <is>
          <t>Demais regiões</t>
        </is>
      </c>
      <c r="B30" s="7" t="n">
        <v>0.2939</v>
      </c>
      <c r="C30" s="2" t="n"/>
      <c r="D30" s="2" t="n"/>
      <c r="E30" s="2" t="n"/>
      <c r="F30" s="2" t="n"/>
    </row>
    <row r="31" ht="20" customHeight="1">
      <c r="A31" s="2" t="n"/>
      <c r="B31" s="2" t="n"/>
      <c r="C31" s="2" t="n"/>
      <c r="D31" s="2" t="n"/>
      <c r="E31" s="2" t="n"/>
      <c r="F31" s="2" t="n"/>
    </row>
    <row r="32" ht="20" customHeight="1">
      <c r="A32" s="2" t="n"/>
      <c r="B32" s="2" t="n"/>
      <c r="C32" s="2" t="n"/>
      <c r="D32" s="2" t="n"/>
      <c r="E32" s="2" t="n"/>
      <c r="F32" s="2" t="n"/>
    </row>
    <row r="33" ht="20" customHeight="1">
      <c r="A33" s="4" t="inlineStr">
        <is>
          <t>CONCLUSÃO</t>
        </is>
      </c>
      <c r="B33" s="2" t="n"/>
      <c r="C33" s="2" t="n"/>
      <c r="D33" s="2" t="n"/>
      <c r="E33" s="2" t="n"/>
      <c r="F33" s="2" t="n"/>
    </row>
    <row r="34" ht="20" customHeight="1">
      <c r="A34" s="8" t="inlineStr">
        <is>
          <t>A análise mostra concentração expressiva dos Operadores de Transporte Multimodal na Região Sudeste. Entre as UFs apresentadas na referência utilizada, São Paulo e Minas Gerais aparecem com a maior quantidade. Os gráficos facilitam a visualização da distribuição dos dados e as fórmulas permitem identificar o maior valor e calcular os percentuais.</t>
        </is>
      </c>
      <c r="B34" s="2" t="n"/>
      <c r="C34" s="2" t="n"/>
      <c r="D34" s="2" t="n"/>
      <c r="E34" s="2" t="n"/>
      <c r="F34" s="2" t="n"/>
    </row>
    <row r="35" ht="20" customHeight="1">
      <c r="A35" s="2" t="n"/>
      <c r="B35" s="2" t="n"/>
      <c r="C35" s="2" t="n"/>
      <c r="D35" s="2" t="n"/>
      <c r="E35" s="2" t="n"/>
      <c r="F35" s="2" t="n"/>
    </row>
    <row r="36" ht="20" customHeight="1">
      <c r="A36" s="2" t="n"/>
      <c r="B36" s="2" t="n"/>
      <c r="C36" s="2" t="n"/>
      <c r="D36" s="2" t="n"/>
      <c r="E36" s="2" t="n"/>
      <c r="F36" s="2" t="n"/>
    </row>
    <row r="37" ht="20" customHeight="1"/>
    <row r="38" ht="20" customHeight="1">
      <c r="A38" s="9" t="inlineStr">
        <is>
          <t>Fórmulas utilizadas</t>
        </is>
      </c>
    </row>
    <row r="39" ht="20" customHeight="1">
      <c r="A39" t="inlineStr">
        <is>
          <t>Pergunta 1: =MAX(B12:B21) | Pergunta 2: =SUM(B28:B30)</t>
        </is>
      </c>
    </row>
  </sheetData>
  <mergeCells count="8">
    <mergeCell ref="A24:F24"/>
    <mergeCell ref="A33:F33"/>
    <mergeCell ref="A1:F1"/>
    <mergeCell ref="A9:F9"/>
    <mergeCell ref="A8:F8"/>
    <mergeCell ref="A34:F36"/>
    <mergeCell ref="A39:F39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2026-08-28T22:26:25Z</dcterms:created>
  <dcterms:modified xmlns:dcterms="http://purl.org/dc/terms/" xmlns:xsi="http://www.w3.org/2001/XMLSchema-instance" xsi:type="dcterms:W3CDTF">2026-08-28T22:26:25Z</dcterms:modified>
</cp:coreProperties>
</file>